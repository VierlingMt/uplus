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vierlinggroup-my.sharepoint.com/personal/martin_vierling_vierling_de/Documents/Vierling Martin/Wirtschaftsjunioren/Unternehmen Plus - Businessplan Wettbewerb/UnternehmenPlus 2025-2026/"/>
    </mc:Choice>
  </mc:AlternateContent>
  <xr:revisionPtr revIDLastSave="882" documentId="11_AD4DB114E441178AC67DF41E0E97FE22683EDF16" xr6:coauthVersionLast="47" xr6:coauthVersionMax="47" xr10:uidLastSave="{FAC9833D-1FB6-4C9B-992A-C341D1F440DD}"/>
  <bookViews>
    <workbookView xWindow="-120" yWindow="-120" windowWidth="38640" windowHeight="21120" xr2:uid="{00000000-000D-0000-FFFF-FFFF00000000}"/>
  </bookViews>
  <sheets>
    <sheet name="Jury &amp; Special Guests" sheetId="2" r:id="rId1"/>
    <sheet name="PitchDay" sheetId="4" r:id="rId2"/>
    <sheet name="Gruppengrößen" sheetId="1" r:id="rId3"/>
    <sheet name="Kalkulation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2" l="1"/>
  <c r="B21" i="3"/>
  <c r="B16" i="3"/>
  <c r="D29" i="3"/>
  <c r="D36" i="3" s="1"/>
  <c r="C30" i="3"/>
  <c r="C29" i="3"/>
  <c r="C36" i="3" s="1"/>
  <c r="B36" i="3"/>
  <c r="B22" i="3"/>
  <c r="D37" i="3" l="1"/>
  <c r="B25" i="3"/>
  <c r="B27" i="3" s="1"/>
  <c r="B37" i="3" s="1"/>
  <c r="D8" i="1" l="1"/>
  <c r="E8" i="1"/>
  <c r="C8" i="1"/>
  <c r="C11" i="1" s="1"/>
  <c r="C19" i="1"/>
  <c r="D19" i="1" s="1"/>
  <c r="E19" i="1" s="1"/>
  <c r="C20" i="1"/>
  <c r="D20" i="1"/>
  <c r="E20" i="1" s="1"/>
  <c r="B21" i="2"/>
  <c r="B19" i="2"/>
  <c r="B34" i="1"/>
  <c r="B38" i="1"/>
  <c r="C38" i="1"/>
  <c r="B8" i="1"/>
  <c r="B11" i="1" s="1"/>
  <c r="B21" i="1" s="1"/>
  <c r="D21" i="1" l="1"/>
  <c r="D24" i="1" s="1"/>
  <c r="C21" i="1"/>
  <c r="E21" i="1"/>
  <c r="E24" i="1" s="1"/>
  <c r="B22" i="2"/>
  <c r="B24" i="1"/>
  <c r="C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Vierling</author>
  </authors>
  <commentList>
    <comment ref="A5" authorId="0" shapeId="0" xr:uid="{AD3F45D8-0604-45AB-A674-68461AAFC960}">
      <text>
        <r>
          <rPr>
            <b/>
            <sz val="9"/>
            <color indexed="81"/>
            <rFont val="Segoe UI"/>
            <family val="2"/>
          </rPr>
          <t>Martin Vierling:</t>
        </r>
        <r>
          <rPr>
            <sz val="9"/>
            <color indexed="81"/>
            <rFont val="Segoe UI"/>
            <family val="2"/>
          </rPr>
          <t xml:space="preserve">
Ansatz - Breites Branchenbild in der Jury für umfangreiches Feedback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Vierling</author>
  </authors>
  <commentList>
    <comment ref="A5" authorId="0" shapeId="0" xr:uid="{8F591C2C-106A-415C-9882-784BB1D5333D}">
      <text>
        <r>
          <rPr>
            <b/>
            <sz val="9"/>
            <color indexed="81"/>
            <rFont val="Segoe UI"/>
            <family val="2"/>
          </rPr>
          <t>Martin Vierling:</t>
        </r>
        <r>
          <rPr>
            <sz val="9"/>
            <color indexed="81"/>
            <rFont val="Segoe UI"/>
            <family val="2"/>
          </rPr>
          <t xml:space="preserve">
Wir würden mit der 10A (mit 21 SuS), mit
der 10B (mit 19 SuS) und der 9c (WWG- mit 26 SuS) teilnehmen. Lehrer der
10. Klassen ist Christian Riedel, Lehrkraft der 9C ist Judith Loschert.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VierlingMt</author>
    <author>Vierling Martin</author>
  </authors>
  <commentList>
    <comment ref="B7" authorId="0" shapeId="0" xr:uid="{1DE7D70B-C05A-42D4-B818-9014AE5B45E5}">
      <text>
        <r>
          <rPr>
            <b/>
            <sz val="9"/>
            <color indexed="81"/>
            <rFont val="Segoe UI"/>
            <charset val="1"/>
          </rPr>
          <t>VierlingMt:</t>
        </r>
        <r>
          <rPr>
            <sz val="9"/>
            <color indexed="81"/>
            <rFont val="Segoe UI"/>
            <charset val="1"/>
          </rPr>
          <t xml:space="preserve">
1000€ unverbindlich zugesagt - ggfs. Mehr - verbindlich nach haushaltsberatung im april
</t>
        </r>
      </text>
    </comment>
    <comment ref="A20" authorId="1" shapeId="0" xr:uid="{DE27D0B2-B3CB-479F-A9E7-27F8B4548FB6}">
      <text>
        <r>
          <rPr>
            <b/>
            <sz val="9"/>
            <color indexed="81"/>
            <rFont val="Segoe UI"/>
            <family val="2"/>
          </rPr>
          <t>Vierling Martin:
14.08.2025/MtVg: Flo Kraus verlangt nichts --&gt; Sponsor!</t>
        </r>
        <r>
          <rPr>
            <sz val="9"/>
            <color indexed="81"/>
            <rFont val="Segoe UI"/>
            <family val="2"/>
          </rPr>
          <t xml:space="preserve">
[12:26, 8.5.2025] Florian Kraus: Ich würde 300 Euro brutto verlangen dafür</t>
        </r>
      </text>
    </comment>
  </commentList>
</comments>
</file>

<file path=xl/sharedStrings.xml><?xml version="1.0" encoding="utf-8"?>
<sst xmlns="http://schemas.openxmlformats.org/spreadsheetml/2006/main" count="310" uniqueCount="246">
  <si>
    <t>Moderation</t>
  </si>
  <si>
    <t>MtVg + Lehrer</t>
  </si>
  <si>
    <t>Jury</t>
  </si>
  <si>
    <t>Name</t>
  </si>
  <si>
    <t>Branche</t>
  </si>
  <si>
    <t>Status</t>
  </si>
  <si>
    <t>Bemerkung</t>
  </si>
  <si>
    <t>Beschreibung</t>
  </si>
  <si>
    <t>Robin Stamos</t>
  </si>
  <si>
    <t>Unternehmensberatung</t>
  </si>
  <si>
    <t>Angefragt</t>
  </si>
  <si>
    <t>EVOLEAD GmbH
Robin Stamos
Gründer &amp; Geschäftsführer</t>
  </si>
  <si>
    <t>Florian Kraus</t>
  </si>
  <si>
    <t>Logistik</t>
  </si>
  <si>
    <t>Inhaber und Geschäftsführer Busunternehmen Kraus</t>
  </si>
  <si>
    <t>Jehona Ahmeti</t>
  </si>
  <si>
    <t>Finanzdienstleistung</t>
  </si>
  <si>
    <t>Zusage</t>
  </si>
  <si>
    <t>Selbstständig im Bereich Finanzdienstleistungen</t>
  </si>
  <si>
    <t>Marco Böhm</t>
  </si>
  <si>
    <t>Digital</t>
  </si>
  <si>
    <t>Gründer und Inhaber BlueBranch GmbH</t>
  </si>
  <si>
    <t>Yannick Reinlein</t>
  </si>
  <si>
    <t>Sport/Influencer</t>
  </si>
  <si>
    <t>Yannick Reinlein Personal Coaching Headcoacch &amp; Geschäftsführer</t>
  </si>
  <si>
    <t>Florian Hartlieb</t>
  </si>
  <si>
    <t>Bank</t>
  </si>
  <si>
    <t>Bildungssponsor Sparkasse</t>
  </si>
  <si>
    <t>Anna Niegel</t>
  </si>
  <si>
    <t>Öffentliches/WiFö</t>
  </si>
  <si>
    <t>Axel Schüttinger</t>
  </si>
  <si>
    <t>Industrie/Produktion</t>
  </si>
  <si>
    <t>Theresa Meier-Kaul</t>
  </si>
  <si>
    <t>Handwerk</t>
  </si>
  <si>
    <t>Absage</t>
  </si>
  <si>
    <t>Theresa Meier-Kaul, Inhaberin und Geschäftsführerin der Schreinerei Kaul</t>
  </si>
  <si>
    <t>Anton Schreiber</t>
  </si>
  <si>
    <t>Einzelhandel / E-Commerce / Konsumgüter</t>
  </si>
  <si>
    <t>Anton von WIRDUZEN, Gründer der WIRDUZEN.DIGITAL GmbH</t>
  </si>
  <si>
    <t>Paul Redetzky</t>
  </si>
  <si>
    <t>Marcus Müller</t>
  </si>
  <si>
    <t>Bildung / Pädagogik / Schule</t>
  </si>
  <si>
    <t>Gesamt</t>
  </si>
  <si>
    <t>VIPS</t>
  </si>
  <si>
    <t>Position</t>
  </si>
  <si>
    <t>E-Mail</t>
  </si>
  <si>
    <t>Einladung per?</t>
  </si>
  <si>
    <t>Grußwort?</t>
  </si>
  <si>
    <t>Michael Waasner</t>
  </si>
  <si>
    <t>IHK Präsident zu Bayreuth</t>
  </si>
  <si>
    <t>praesident@bayreuth.ihk.de</t>
  </si>
  <si>
    <t>Mail</t>
  </si>
  <si>
    <t xml:space="preserve">Florian Oßwald </t>
  </si>
  <si>
    <t>WJ Bayern Vorstand</t>
  </si>
  <si>
    <t>landesvorsitz@wjbayern.de</t>
  </si>
  <si>
    <t>Carolin Hochmuth</t>
  </si>
  <si>
    <t>WJ Deutschland</t>
  </si>
  <si>
    <t>ipp@wjbayern.de, mitglieder@buvo.wjd.de</t>
  </si>
  <si>
    <t>Ressortverantwortlicher Innovation &amp; Ressourcen</t>
  </si>
  <si>
    <t>innovation@wjbayern.de</t>
  </si>
  <si>
    <t>jap bin gern am 17.07. in Ebermannstadt mit dabei und kann auch ein Grußwort sprechen. Falls bedarf ist, gebe ich auch gern den Teams Feedback und beteilige mich als Jury-Mitglied.</t>
  </si>
  <si>
    <t>Harald Reinsch</t>
  </si>
  <si>
    <t>Sparkasse</t>
  </si>
  <si>
    <t>harald.reinsch@spk-forchheim.de</t>
  </si>
  <si>
    <t>Isabella</t>
  </si>
  <si>
    <t>WJB Bildung &amp; Wirtschaft</t>
  </si>
  <si>
    <t>bildung@wjbayern.de</t>
  </si>
  <si>
    <t>Christiane Meyer</t>
  </si>
  <si>
    <t>Bgmin Ebermannstadt</t>
  </si>
  <si>
    <t>christiane.meyer@ebermannstadt.de</t>
  </si>
  <si>
    <t>Viktor Naumann</t>
  </si>
  <si>
    <t>city mgmt und medicalvaley</t>
  </si>
  <si>
    <t>viktor.naumann@forchheim.de</t>
  </si>
  <si>
    <t>Sponsoring erhalten</t>
  </si>
  <si>
    <t>Andreas Rösch</t>
  </si>
  <si>
    <t>WiFö Lkr. Fo</t>
  </si>
  <si>
    <t>andreas.roesch@lra-fo.de</t>
  </si>
  <si>
    <t>Ramona Gebhard</t>
  </si>
  <si>
    <t>LRA Fo, Bildungsbüro</t>
  </si>
  <si>
    <t>Ramona.Gebhard@lra-fo.de</t>
  </si>
  <si>
    <t>Dr. Julia Schilling wird teilnehmen</t>
  </si>
  <si>
    <t>Martina Hebendanz</t>
  </si>
  <si>
    <t>OB Forchheim</t>
  </si>
  <si>
    <t>stadt@forchheim.de</t>
  </si>
  <si>
    <t>Susanne Schmidt</t>
  </si>
  <si>
    <t>Schulleitung EGF</t>
  </si>
  <si>
    <t>susanne.schmidt@egf-online.de</t>
  </si>
  <si>
    <t>Dr. Bruno Kuntke</t>
  </si>
  <si>
    <t>Schulleitung HGF</t>
  </si>
  <si>
    <t>b.kuntke@herder-forchheim.de</t>
  </si>
  <si>
    <t>Siegfried Reck</t>
  </si>
  <si>
    <t>Schulleitung GFS</t>
  </si>
  <si>
    <t>reck@gfs-ebs.de</t>
  </si>
  <si>
    <t>Hanngörg Zimmermann</t>
  </si>
  <si>
    <t>Landrat Forchheim</t>
  </si>
  <si>
    <t>Anton</t>
  </si>
  <si>
    <t>Schirmherr</t>
  </si>
  <si>
    <t>=&gt; Macht auch die KeyNote (Hauptrede)</t>
  </si>
  <si>
    <t>Miroslav Klose</t>
  </si>
  <si>
    <t>1. FCN</t>
  </si>
  <si>
    <t>Dardan Morina</t>
  </si>
  <si>
    <t>hoher Politiker? anna stolz</t>
  </si>
  <si>
    <t>Bayerische Staatsministerin für Unterricht und Kultus</t>
  </si>
  <si>
    <t>https://www.km.bayern.de/ministerium/staatsministerin-fuer-unterricht-und-kultus</t>
  </si>
  <si>
    <t>Prof. Dr. Eva Alexandra Jakob
Juniorprofessorin</t>
  </si>
  <si>
    <t>Institut für Entrepreneurship &amp; Innovation (IEI) der Uni Bayreuth https://www.iei.uni-bayreuth.de/de/Unsere-Forschung-_-Wissenswertes/index.html</t>
  </si>
  <si>
    <t>Anton über Fr. Tina Beeg</t>
  </si>
  <si>
    <t>Zugesagt für Keynote</t>
  </si>
  <si>
    <t>YT Industries Markus Flossmann</t>
  </si>
  <si>
    <t>https://www.mtb-news.de/news/yt-industries-gruender-markus-flossmann-kauft-firma-zurueck/</t>
  </si>
  <si>
    <t>s</t>
  </si>
  <si>
    <t>Presse etc.</t>
  </si>
  <si>
    <t>Lt. Presseverteiler</t>
  </si>
  <si>
    <t>Mail durch Martin</t>
  </si>
  <si>
    <t>erledigt</t>
  </si>
  <si>
    <t>Julian Hörndlein</t>
  </si>
  <si>
    <t xml:space="preserve">NN-Redaktion </t>
  </si>
  <si>
    <t>julian@julianhoerndlein.de</t>
  </si>
  <si>
    <t>angemeldet</t>
  </si>
  <si>
    <t>Agenda PitchDay</t>
  </si>
  <si>
    <t>13:45 – 14:00:  Eintreffen der Gäste</t>
  </si>
  <si>
    <t>14:00 – 14:30:  Eröffnung &amp; Grußworte</t>
  </si>
  <si>
    <t>14:30 – 16:00:  Pitches der besten 7 Teams</t>
  </si>
  <si>
    <t xml:space="preserve">16:00 – 16:20:  Pause und Bewertung durch die Jury </t>
  </si>
  <si>
    <t xml:space="preserve">16:20 – 16:40:  Preisverleihung an die 3 besten Teams </t>
  </si>
  <si>
    <t>16:40 – 17:00:  Gemeinsamer Ausklang</t>
  </si>
  <si>
    <t>17:00: Bustransfer der Schüler nach Forchheim</t>
  </si>
  <si>
    <t>Was</t>
  </si>
  <si>
    <t>Wer</t>
  </si>
  <si>
    <t>Kommentar</t>
  </si>
  <si>
    <t>Catering</t>
  </si>
  <si>
    <t>Wie lezttes Jahr - Essen und Getränke</t>
  </si>
  <si>
    <t>Urkunden</t>
  </si>
  <si>
    <t>Gutscheine</t>
  </si>
  <si>
    <t>Schokiguddies</t>
  </si>
  <si>
    <t>Als Dank für Redner + Teams</t>
  </si>
  <si>
    <t>Atlas des Aufschwungs</t>
  </si>
  <si>
    <t>Vorhanden</t>
  </si>
  <si>
    <t>Dank an Redner + Teams?</t>
  </si>
  <si>
    <t>Bustransfer</t>
  </si>
  <si>
    <t>Zugesagt</t>
  </si>
  <si>
    <t>RollUps</t>
  </si>
  <si>
    <t>Rollups der WJ + aller Sponsoren!</t>
  </si>
  <si>
    <t>Aushänge</t>
  </si>
  <si>
    <t>Neu gestalten, Drucken und Aushängen!</t>
  </si>
  <si>
    <t>Mastersheet MagicGroupSize</t>
  </si>
  <si>
    <t>UnternehmenPlus der WJ Forchheim</t>
  </si>
  <si>
    <t>EGF</t>
  </si>
  <si>
    <t>HGF</t>
  </si>
  <si>
    <t>GFS</t>
  </si>
  <si>
    <t>Ich kann als Juror an folgenden Terminen für Juryfeedback teilnehmen (bitte alle möglichen anhaken!)</t>
  </si>
  <si>
    <t>Ehrenbürg Gymnasium</t>
  </si>
  <si>
    <t>Am EGF Fo:</t>
  </si>
  <si>
    <t>22.05.2026 8:15 - 11:30 Uhr</t>
  </si>
  <si>
    <t xml:space="preserve">18.05.2026 8:15 - 13:00 </t>
  </si>
  <si>
    <t xml:space="preserve">15.05.2026 8:15 - 13:00 </t>
  </si>
  <si>
    <t>Herder Gymnasium</t>
  </si>
  <si>
    <t>Am HGF Fo:</t>
  </si>
  <si>
    <t>12.05.2026 08:10 - 09:40</t>
  </si>
  <si>
    <t>11.05.2026 08:10 - 90:40</t>
  </si>
  <si>
    <t>Gymnasium Fränkische Schweiz</t>
  </si>
  <si>
    <t>Am GFS Ebs:</t>
  </si>
  <si>
    <t>12.05. 09:30 - 12:45</t>
  </si>
  <si>
    <t>13.05 09:30 - 12:45</t>
  </si>
  <si>
    <t>13.05 13:45 - 16:45</t>
  </si>
  <si>
    <t>Anzahl teilnehmender Schulen</t>
  </si>
  <si>
    <t>Gesamtschüler</t>
  </si>
  <si>
    <t>Gruppengröße</t>
  </si>
  <si>
    <t>Anzahl Gruppen / Business Pläne</t>
  </si>
  <si>
    <t>Jury-Mitglieder</t>
  </si>
  <si>
    <t>Jury-Feedback</t>
  </si>
  <si>
    <t>Zeit je Schüler-Gruppe [min]</t>
  </si>
  <si>
    <t>Pausenlänge [min]</t>
  </si>
  <si>
    <t>Pause nach X Gesprächen</t>
  </si>
  <si>
    <t>Gesamtzeit [h]</t>
  </si>
  <si>
    <t>Anzahl Jurymitglieder je Gruppe (min 2!)</t>
  </si>
  <si>
    <t>Anzahl Jury-Gruppen</t>
  </si>
  <si>
    <t>Zeit je Jury-Gruppe [h]</t>
  </si>
  <si>
    <t>Pitch-Day</t>
  </si>
  <si>
    <t>Anzahl Teams je Schule</t>
  </si>
  <si>
    <t>Anzahl vortragender Teams</t>
  </si>
  <si>
    <t>ziel top3 je schule + 1x Wildcard. Außer echt übel: Dann mindestens 1 je schule</t>
  </si>
  <si>
    <t>Pitch-Zeit je Team [min]</t>
  </si>
  <si>
    <t>wegen zeit top 2 je schule und 1x wildcard?</t>
  </si>
  <si>
    <t>Jury-Feedback je Team [min]</t>
  </si>
  <si>
    <t>Puffer zwischen Teams (Auf-/Abbau)</t>
  </si>
  <si>
    <t>Dauer Pitches</t>
  </si>
  <si>
    <t>Dauer Jurybesprechung für Top3</t>
  </si>
  <si>
    <t>Dauer Top 3 Prämierung</t>
  </si>
  <si>
    <t>Dauer Begrüßung, Verabschiedung, Puffer</t>
  </si>
  <si>
    <t>Dauer Pitch-Day</t>
  </si>
  <si>
    <t>Kalkulation Sponsoring/Gewinne WJ Unternehmen Plus</t>
  </si>
  <si>
    <t>zusage</t>
  </si>
  <si>
    <t>angefragt</t>
  </si>
  <si>
    <t>absage</t>
  </si>
  <si>
    <t>netto</t>
  </si>
  <si>
    <t>Sponsoren</t>
  </si>
  <si>
    <t>Betrag</t>
  </si>
  <si>
    <t>Kontakt</t>
  </si>
  <si>
    <t>Sparkasse Forchheim (max 1.500€)</t>
  </si>
  <si>
    <t>lisa.hopf@spk-forchheim.de</t>
  </si>
  <si>
    <t>Zusage über Rahmenvertag</t>
  </si>
  <si>
    <t>Innovationsförderung Forchheim</t>
  </si>
  <si>
    <t>julia.schilling@lra-fo.de</t>
  </si>
  <si>
    <t>Medical Valley Center</t>
  </si>
  <si>
    <t>Viktor.Naumann@forchheim.de</t>
  </si>
  <si>
    <t>wirdutzen Digital GmbH</t>
  </si>
  <si>
    <t>anton@wirduzen.de</t>
  </si>
  <si>
    <t>Zusage per Whatsapp in Uplus Juroren - 14.02.26</t>
  </si>
  <si>
    <t>vimatec GmbH</t>
  </si>
  <si>
    <t>marketing@vierling.de</t>
  </si>
  <si>
    <t>WJB Projektkostenzuschuss</t>
  </si>
  <si>
    <t>WJ LaVo Bildung</t>
  </si>
  <si>
    <t>Stadt Ebermannstadt</t>
  </si>
  <si>
    <t>andreas.kirchner@ebermannstadt.de</t>
  </si>
  <si>
    <t>Omnibus Kraus</t>
  </si>
  <si>
    <t>florian@omnibus-kraus.de</t>
  </si>
  <si>
    <t>Zusage bei WJ JHV</t>
  </si>
  <si>
    <t>Lahner</t>
  </si>
  <si>
    <t>Marcus</t>
  </si>
  <si>
    <t>Erst am 21.09.25 auf der RE ersichtlich</t>
  </si>
  <si>
    <t>Kosten</t>
  </si>
  <si>
    <t>Rollenkärtchen</t>
  </si>
  <si>
    <t>Als Spende wieder gutgeschrieben</t>
  </si>
  <si>
    <t>Gebühr Stadthalle</t>
  </si>
  <si>
    <t>Danke für die Übernahme der hälfte der Gebüren von der Stadt Ebermannstadt!</t>
  </si>
  <si>
    <t>500€ als Spende gegeben</t>
  </si>
  <si>
    <t>Drucksachen, Snacks, Urkunden</t>
  </si>
  <si>
    <t>Betrag für Gewinner:</t>
  </si>
  <si>
    <t>Wunschgut.</t>
  </si>
  <si>
    <t>Schnupperj.</t>
  </si>
  <si>
    <t>WJ-Coaching</t>
  </si>
  <si>
    <t>1. Platz</t>
  </si>
  <si>
    <t>2. Platz</t>
  </si>
  <si>
    <t>3. Platz</t>
  </si>
  <si>
    <t>4. Platz</t>
  </si>
  <si>
    <t>5. Platz</t>
  </si>
  <si>
    <t>6. Platz</t>
  </si>
  <si>
    <t>7. Platz</t>
  </si>
  <si>
    <t>Unter-/Überdeckung</t>
  </si>
  <si>
    <t>Vertretung</t>
  </si>
  <si>
    <t>Es kommt aus Ebermannstadt Franzika.Axamit@spk-forchheim.de</t>
  </si>
  <si>
    <t>Hr. Waasner kannleider nicht. Es kommt Tobias Hoffmann (Stv. Hauptgeschäftsführer) inkl. Grußwort</t>
  </si>
  <si>
    <t>Sitzordnung</t>
  </si>
  <si>
    <t>Reserviertschilder für nicht schüler</t>
  </si>
  <si>
    <t>Herr Bürgermeister Udo Schönfelder als Vertretung mit Grußwort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</si>
</sst>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44" formatCode="_-* #,##0.00\ &quot;€&quot;_-;\-* #,##0.00\ &quot;€&quot;_-;_-* &quot;-&quot;??\ &quot;€&quot;_-;_-@_-"/>
  </numFmts>
  <fonts count="19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0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5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3" borderId="5" applyNumberFormat="0" applyAlignment="0" applyProtection="0"/>
    <xf numFmtId="44" fontId="1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1" fillId="9" borderId="0" applyNumberFormat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1" xfId="1"/>
    <xf numFmtId="2" fontId="2" fillId="3" borderId="1" xfId="2" applyNumberFormat="1"/>
    <xf numFmtId="1" fontId="2" fillId="3" borderId="1" xfId="2" applyNumberFormat="1"/>
    <xf numFmtId="0" fontId="1" fillId="2" borderId="2" xfId="1" applyBorder="1"/>
    <xf numFmtId="4" fontId="0" fillId="0" borderId="0" xfId="0" applyNumberFormat="1"/>
    <xf numFmtId="0" fontId="0" fillId="0" borderId="4" xfId="0" applyBorder="1"/>
    <xf numFmtId="0" fontId="3" fillId="6" borderId="4" xfId="0" applyFont="1" applyFill="1" applyBorder="1"/>
    <xf numFmtId="0" fontId="7" fillId="4" borderId="4" xfId="3" applyBorder="1" applyAlignment="1">
      <alignment horizontal="center" vertical="center"/>
    </xf>
    <xf numFmtId="0" fontId="8" fillId="5" borderId="4" xfId="4" applyBorder="1" applyAlignment="1">
      <alignment horizontal="center" vertical="center"/>
    </xf>
    <xf numFmtId="0" fontId="8" fillId="5" borderId="4" xfId="4" applyBorder="1" applyAlignment="1">
      <alignment horizontal="right" vertical="center"/>
    </xf>
    <xf numFmtId="0" fontId="7" fillId="4" borderId="4" xfId="3" applyBorder="1" applyAlignment="1">
      <alignment horizontal="right" vertical="center"/>
    </xf>
    <xf numFmtId="0" fontId="9" fillId="3" borderId="5" xfId="5"/>
    <xf numFmtId="0" fontId="9" fillId="3" borderId="5" xfId="5" applyAlignment="1">
      <alignment horizontal="center"/>
    </xf>
    <xf numFmtId="0" fontId="10" fillId="0" borderId="4" xfId="0" applyFont="1" applyBorder="1"/>
    <xf numFmtId="44" fontId="0" fillId="0" borderId="4" xfId="6" applyFont="1" applyBorder="1"/>
    <xf numFmtId="0" fontId="3" fillId="0" borderId="4" xfId="0" applyFont="1" applyBorder="1"/>
    <xf numFmtId="44" fontId="2" fillId="3" borderId="4" xfId="2" applyNumberFormat="1" applyBorder="1"/>
    <xf numFmtId="44" fontId="2" fillId="3" borderId="1" xfId="2" applyNumberFormat="1"/>
    <xf numFmtId="0" fontId="12" fillId="0" borderId="0" xfId="0" applyFont="1" applyAlignment="1">
      <alignment horizontal="center" vertical="center"/>
    </xf>
    <xf numFmtId="0" fontId="13" fillId="0" borderId="0" xfId="7"/>
    <xf numFmtId="0" fontId="3" fillId="6" borderId="6" xfId="0" applyFont="1" applyFill="1" applyBorder="1"/>
    <xf numFmtId="0" fontId="0" fillId="0" borderId="0" xfId="0" applyAlignment="1">
      <alignment wrapText="1"/>
    </xf>
    <xf numFmtId="6" fontId="0" fillId="0" borderId="0" xfId="0" applyNumberFormat="1"/>
    <xf numFmtId="44" fontId="0" fillId="0" borderId="0" xfId="0" applyNumberFormat="1"/>
    <xf numFmtId="0" fontId="7" fillId="4" borderId="4" xfId="3" applyBorder="1"/>
    <xf numFmtId="0" fontId="8" fillId="5" borderId="4" xfId="4" applyBorder="1"/>
    <xf numFmtId="0" fontId="7" fillId="4" borderId="0" xfId="3"/>
    <xf numFmtId="0" fontId="8" fillId="5" borderId="0" xfId="4"/>
    <xf numFmtId="0" fontId="14" fillId="7" borderId="0" xfId="8"/>
    <xf numFmtId="44" fontId="1" fillId="2" borderId="1" xfId="1" applyNumberFormat="1"/>
    <xf numFmtId="0" fontId="14" fillId="7" borderId="4" xfId="8" applyBorder="1"/>
    <xf numFmtId="14" fontId="7" fillId="4" borderId="0" xfId="3" applyNumberFormat="1"/>
    <xf numFmtId="14" fontId="8" fillId="5" borderId="0" xfId="4" applyNumberFormat="1"/>
    <xf numFmtId="1" fontId="2" fillId="8" borderId="1" xfId="2" applyNumberFormat="1" applyFill="1"/>
    <xf numFmtId="1" fontId="1" fillId="2" borderId="1" xfId="1" applyNumberFormat="1"/>
    <xf numFmtId="0" fontId="14" fillId="7" borderId="4" xfId="8" applyBorder="1" applyAlignment="1">
      <alignment horizontal="center" vertical="center"/>
    </xf>
    <xf numFmtId="0" fontId="14" fillId="7" borderId="4" xfId="8" applyBorder="1" applyAlignment="1">
      <alignment horizontal="right" vertical="center"/>
    </xf>
    <xf numFmtId="0" fontId="3" fillId="0" borderId="0" xfId="0" quotePrefix="1" applyFont="1"/>
    <xf numFmtId="0" fontId="18" fillId="0" borderId="0" xfId="0" applyFont="1"/>
    <xf numFmtId="0" fontId="8" fillId="5" borderId="7" xfId="4" applyBorder="1" applyAlignment="1"/>
    <xf numFmtId="0" fontId="8" fillId="5" borderId="0" xfId="4" applyAlignment="1"/>
    <xf numFmtId="0" fontId="11" fillId="9" borderId="4" xfId="9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</cellXfs>
  <cellStyles count="10">
    <cellStyle name="20 % - Akzent6" xfId="9" builtinId="50"/>
    <cellStyle name="Ausgabe" xfId="5" builtinId="21"/>
    <cellStyle name="Berechnung" xfId="2" builtinId="22"/>
    <cellStyle name="Eingabe" xfId="1" builtinId="20"/>
    <cellStyle name="Gut" xfId="3" builtinId="26"/>
    <cellStyle name="Link" xfId="7" builtinId="8"/>
    <cellStyle name="Neutral" xfId="4" builtinId="28"/>
    <cellStyle name="Schlecht" xfId="8" builtinId="27"/>
    <cellStyle name="Standard" xfId="0" builtinId="0"/>
    <cellStyle name="Währung" xfId="6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dreas.roesch@lra-fo.de" TargetMode="External"/><Relationship Id="rId13" Type="http://schemas.openxmlformats.org/officeDocument/2006/relationships/hyperlink" Target="mailto:stadt@forchheim.de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harald.reinsch@spk-forchheim.de" TargetMode="External"/><Relationship Id="rId7" Type="http://schemas.openxmlformats.org/officeDocument/2006/relationships/hyperlink" Target="mailto:praesident@bayreuth.ihk.de" TargetMode="External"/><Relationship Id="rId12" Type="http://schemas.openxmlformats.org/officeDocument/2006/relationships/hyperlink" Target="https://www.mtb-news.de/news/yt-industries-gruender-markus-flossmann-kauft-firma-zurueck/" TargetMode="External"/><Relationship Id="rId17" Type="http://schemas.openxmlformats.org/officeDocument/2006/relationships/hyperlink" Target="mailto:reck@gfs-ebs.de" TargetMode="External"/><Relationship Id="rId2" Type="http://schemas.openxmlformats.org/officeDocument/2006/relationships/hyperlink" Target="mailto:ipp@wjbayern.de" TargetMode="External"/><Relationship Id="rId16" Type="http://schemas.openxmlformats.org/officeDocument/2006/relationships/hyperlink" Target="mailto:b.kuntke@herder-forchheim.de" TargetMode="External"/><Relationship Id="rId20" Type="http://schemas.openxmlformats.org/officeDocument/2006/relationships/comments" Target="../comments1.xml"/><Relationship Id="rId1" Type="http://schemas.openxmlformats.org/officeDocument/2006/relationships/hyperlink" Target="mailto:landesvorsitz@wjbayern.de" TargetMode="External"/><Relationship Id="rId6" Type="http://schemas.openxmlformats.org/officeDocument/2006/relationships/hyperlink" Target="mailto:viktor.naumann@forchheim.de" TargetMode="External"/><Relationship Id="rId11" Type="http://schemas.openxmlformats.org/officeDocument/2006/relationships/hyperlink" Target="https://www.km.bayern.de/ministerium/staatsministerin-fuer-unterricht-und-kultus" TargetMode="External"/><Relationship Id="rId5" Type="http://schemas.openxmlformats.org/officeDocument/2006/relationships/hyperlink" Target="mailto:christiane.meyer@ebermannstadt.de" TargetMode="External"/><Relationship Id="rId15" Type="http://schemas.openxmlformats.org/officeDocument/2006/relationships/hyperlink" Target="mailto:susanne.schmidt@egf-online.de" TargetMode="External"/><Relationship Id="rId10" Type="http://schemas.openxmlformats.org/officeDocument/2006/relationships/hyperlink" Target="mailto:Ramona.Gebhard@lra-fo.de" TargetMode="External"/><Relationship Id="rId19" Type="http://schemas.openxmlformats.org/officeDocument/2006/relationships/vmlDrawing" Target="../drawings/vmlDrawing1.vml"/><Relationship Id="rId4" Type="http://schemas.openxmlformats.org/officeDocument/2006/relationships/hyperlink" Target="mailto:bildung@wjbayern.de" TargetMode="External"/><Relationship Id="rId9" Type="http://schemas.openxmlformats.org/officeDocument/2006/relationships/hyperlink" Target="mailto:innovation@wjbayern.de" TargetMode="External"/><Relationship Id="rId14" Type="http://schemas.openxmlformats.org/officeDocument/2006/relationships/hyperlink" Target="mailto:julian@julianhoerndlein.d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nton@wirduzen.de" TargetMode="External"/><Relationship Id="rId3" Type="http://schemas.openxmlformats.org/officeDocument/2006/relationships/hyperlink" Target="mailto:Viktor.Naumann@forchheim.de" TargetMode="External"/><Relationship Id="rId7" Type="http://schemas.openxmlformats.org/officeDocument/2006/relationships/hyperlink" Target="mailto:florian@omnibus-kraus.de" TargetMode="External"/><Relationship Id="rId2" Type="http://schemas.openxmlformats.org/officeDocument/2006/relationships/hyperlink" Target="mailto:lisa.hopf@spk-forchheim.de" TargetMode="External"/><Relationship Id="rId1" Type="http://schemas.openxmlformats.org/officeDocument/2006/relationships/hyperlink" Target="mailto:julia.schilling@lra-fo.de" TargetMode="External"/><Relationship Id="rId6" Type="http://schemas.openxmlformats.org/officeDocument/2006/relationships/hyperlink" Target="mailto:andreas.kirchner@ebermannstadt.de" TargetMode="External"/><Relationship Id="rId11" Type="http://schemas.openxmlformats.org/officeDocument/2006/relationships/comments" Target="../comments3.xml"/><Relationship Id="rId5" Type="http://schemas.openxmlformats.org/officeDocument/2006/relationships/hyperlink" Target="mailto:innovation@wjbayern.de" TargetMode="External"/><Relationship Id="rId10" Type="http://schemas.openxmlformats.org/officeDocument/2006/relationships/vmlDrawing" Target="../drawings/vmlDrawing3.vml"/><Relationship Id="rId4" Type="http://schemas.openxmlformats.org/officeDocument/2006/relationships/hyperlink" Target="mailto:marketing@vierling.de" TargetMode="External"/><Relationship Id="rId9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E0FE2-5884-4A1D-BF00-69FD6506BD2F}">
  <dimension ref="A4:H51"/>
  <sheetViews>
    <sheetView tabSelected="1" topLeftCell="A17" workbookViewId="0">
      <selection activeCell="H37" sqref="H37"/>
    </sheetView>
  </sheetViews>
  <sheetFormatPr baseColWidth="10" defaultColWidth="10.7109375" defaultRowHeight="15" x14ac:dyDescent="0.25"/>
  <cols>
    <col min="1" max="1" width="19.28515625" customWidth="1"/>
    <col min="2" max="2" width="26.140625" customWidth="1"/>
    <col min="3" max="3" width="27.42578125" customWidth="1"/>
    <col min="4" max="4" width="34.140625" customWidth="1"/>
    <col min="5" max="5" width="14.5703125" customWidth="1"/>
    <col min="8" max="8" width="89.7109375" customWidth="1"/>
  </cols>
  <sheetData>
    <row r="4" spans="1:5" x14ac:dyDescent="0.25">
      <c r="A4" t="s">
        <v>0</v>
      </c>
      <c r="B4" t="s">
        <v>1</v>
      </c>
    </row>
    <row r="5" spans="1:5" x14ac:dyDescent="0.25">
      <c r="A5" t="s">
        <v>2</v>
      </c>
    </row>
    <row r="6" spans="1:5" x14ac:dyDescent="0.25">
      <c r="A6" s="9" t="s">
        <v>3</v>
      </c>
      <c r="B6" s="9" t="s">
        <v>4</v>
      </c>
      <c r="C6" s="9" t="s">
        <v>5</v>
      </c>
      <c r="D6" s="9" t="s">
        <v>6</v>
      </c>
      <c r="E6" s="9" t="s">
        <v>7</v>
      </c>
    </row>
    <row r="7" spans="1:5" x14ac:dyDescent="0.25">
      <c r="A7" s="8" t="s">
        <v>8</v>
      </c>
      <c r="B7" s="8" t="s">
        <v>9</v>
      </c>
      <c r="C7" s="11" t="s">
        <v>10</v>
      </c>
      <c r="D7" s="8"/>
      <c r="E7" s="8" t="s">
        <v>11</v>
      </c>
    </row>
    <row r="8" spans="1:5" x14ac:dyDescent="0.25">
      <c r="A8" s="16" t="s">
        <v>12</v>
      </c>
      <c r="B8" s="8" t="s">
        <v>13</v>
      </c>
      <c r="C8" s="11" t="s">
        <v>10</v>
      </c>
      <c r="D8" s="8"/>
      <c r="E8" s="8" t="s">
        <v>14</v>
      </c>
    </row>
    <row r="9" spans="1:5" x14ac:dyDescent="0.25">
      <c r="A9" s="8" t="s">
        <v>15</v>
      </c>
      <c r="B9" s="8" t="s">
        <v>16</v>
      </c>
      <c r="C9" s="10" t="s">
        <v>17</v>
      </c>
      <c r="D9" s="8"/>
      <c r="E9" s="8" t="s">
        <v>18</v>
      </c>
    </row>
    <row r="10" spans="1:5" x14ac:dyDescent="0.25">
      <c r="A10" s="8" t="s">
        <v>19</v>
      </c>
      <c r="B10" s="8" t="s">
        <v>20</v>
      </c>
      <c r="C10" s="11" t="s">
        <v>10</v>
      </c>
      <c r="D10" s="8"/>
      <c r="E10" s="8" t="s">
        <v>21</v>
      </c>
    </row>
    <row r="11" spans="1:5" x14ac:dyDescent="0.25">
      <c r="A11" s="8" t="s">
        <v>22</v>
      </c>
      <c r="B11" s="8" t="s">
        <v>23</v>
      </c>
      <c r="C11" s="10" t="s">
        <v>17</v>
      </c>
      <c r="D11" s="8"/>
      <c r="E11" s="8" t="s">
        <v>24</v>
      </c>
    </row>
    <row r="12" spans="1:5" x14ac:dyDescent="0.25">
      <c r="A12" s="16" t="s">
        <v>25</v>
      </c>
      <c r="B12" s="8" t="s">
        <v>26</v>
      </c>
      <c r="C12" s="11" t="s">
        <v>10</v>
      </c>
      <c r="D12" s="8" t="s">
        <v>27</v>
      </c>
      <c r="E12" s="8" t="s">
        <v>27</v>
      </c>
    </row>
    <row r="13" spans="1:5" x14ac:dyDescent="0.25">
      <c r="A13" s="16" t="s">
        <v>28</v>
      </c>
      <c r="B13" s="8" t="s">
        <v>29</v>
      </c>
      <c r="C13" s="10" t="s">
        <v>17</v>
      </c>
      <c r="D13" s="8"/>
      <c r="E13" s="8"/>
    </row>
    <row r="14" spans="1:5" x14ac:dyDescent="0.25">
      <c r="A14" s="8" t="s">
        <v>30</v>
      </c>
      <c r="B14" s="8" t="s">
        <v>31</v>
      </c>
      <c r="C14" s="11" t="s">
        <v>10</v>
      </c>
      <c r="D14" s="8"/>
      <c r="E14" s="8"/>
    </row>
    <row r="15" spans="1:5" x14ac:dyDescent="0.25">
      <c r="A15" s="8" t="s">
        <v>32</v>
      </c>
      <c r="B15" s="8" t="s">
        <v>33</v>
      </c>
      <c r="C15" s="38" t="s">
        <v>34</v>
      </c>
      <c r="D15" s="8"/>
      <c r="E15" s="8" t="s">
        <v>35</v>
      </c>
    </row>
    <row r="16" spans="1:5" x14ac:dyDescent="0.25">
      <c r="A16" s="8" t="s">
        <v>36</v>
      </c>
      <c r="B16" s="8" t="s">
        <v>37</v>
      </c>
      <c r="C16" s="10" t="s">
        <v>17</v>
      </c>
      <c r="D16" s="8"/>
      <c r="E16" s="8" t="s">
        <v>38</v>
      </c>
    </row>
    <row r="17" spans="1:8" x14ac:dyDescent="0.25">
      <c r="A17" s="8" t="s">
        <v>39</v>
      </c>
      <c r="B17" s="8"/>
      <c r="C17" s="10" t="s">
        <v>17</v>
      </c>
      <c r="D17" s="8"/>
      <c r="E17" s="8"/>
    </row>
    <row r="18" spans="1:8" x14ac:dyDescent="0.25">
      <c r="A18" s="8" t="s">
        <v>40</v>
      </c>
      <c r="B18" s="8" t="s">
        <v>41</v>
      </c>
      <c r="C18" s="10" t="s">
        <v>17</v>
      </c>
      <c r="D18" s="8"/>
      <c r="E18" s="8"/>
    </row>
    <row r="19" spans="1:8" x14ac:dyDescent="0.25">
      <c r="B19" s="12">
        <f>COUNTIF($C$7:$C$18,C19)</f>
        <v>5</v>
      </c>
      <c r="C19" s="11" t="s">
        <v>10</v>
      </c>
    </row>
    <row r="20" spans="1:8" x14ac:dyDescent="0.25">
      <c r="B20" s="39">
        <f>COUNTIF($C$7:$C$18,C20)</f>
        <v>1</v>
      </c>
      <c r="C20" s="38" t="s">
        <v>34</v>
      </c>
    </row>
    <row r="21" spans="1:8" x14ac:dyDescent="0.25">
      <c r="B21" s="13">
        <f>COUNTIF($C$7:$C$18,C21)</f>
        <v>6</v>
      </c>
      <c r="C21" s="10" t="s">
        <v>17</v>
      </c>
    </row>
    <row r="22" spans="1:8" x14ac:dyDescent="0.25">
      <c r="B22" s="14">
        <f>SUM(B19:B21)</f>
        <v>12</v>
      </c>
      <c r="C22" s="15" t="s">
        <v>42</v>
      </c>
    </row>
    <row r="25" spans="1:8" x14ac:dyDescent="0.25">
      <c r="A25" s="23" t="s">
        <v>43</v>
      </c>
      <c r="B25" s="23" t="s">
        <v>3</v>
      </c>
      <c r="C25" s="23" t="s">
        <v>44</v>
      </c>
      <c r="D25" s="23" t="s">
        <v>45</v>
      </c>
      <c r="E25" s="23" t="s">
        <v>46</v>
      </c>
      <c r="F25" s="23" t="s">
        <v>5</v>
      </c>
      <c r="G25" s="23" t="s">
        <v>47</v>
      </c>
      <c r="H25" s="23" t="s">
        <v>6</v>
      </c>
    </row>
    <row r="26" spans="1:8" x14ac:dyDescent="0.25">
      <c r="B26" t="s">
        <v>48</v>
      </c>
      <c r="C26" t="s">
        <v>49</v>
      </c>
      <c r="D26" s="22" t="s">
        <v>50</v>
      </c>
      <c r="E26" t="s">
        <v>51</v>
      </c>
      <c r="F26" s="10" t="s">
        <v>17</v>
      </c>
      <c r="G26" s="10" t="s">
        <v>17</v>
      </c>
      <c r="H26" t="s">
        <v>242</v>
      </c>
    </row>
    <row r="27" spans="1:8" x14ac:dyDescent="0.25">
      <c r="B27" t="s">
        <v>52</v>
      </c>
      <c r="C27" t="s">
        <v>53</v>
      </c>
      <c r="D27" s="22" t="s">
        <v>54</v>
      </c>
      <c r="E27" t="s">
        <v>51</v>
      </c>
      <c r="F27" s="38" t="s">
        <v>34</v>
      </c>
    </row>
    <row r="28" spans="1:8" x14ac:dyDescent="0.25">
      <c r="B28" t="s">
        <v>55</v>
      </c>
      <c r="C28" t="s">
        <v>56</v>
      </c>
      <c r="D28" s="22" t="s">
        <v>57</v>
      </c>
      <c r="E28" t="s">
        <v>51</v>
      </c>
      <c r="F28" s="11" t="s">
        <v>10</v>
      </c>
    </row>
    <row r="29" spans="1:8" x14ac:dyDescent="0.25">
      <c r="B29" t="s">
        <v>39</v>
      </c>
      <c r="C29" t="s">
        <v>58</v>
      </c>
      <c r="D29" s="22" t="s">
        <v>59</v>
      </c>
      <c r="E29" t="s">
        <v>51</v>
      </c>
      <c r="F29" s="11" t="s">
        <v>10</v>
      </c>
      <c r="H29" t="s">
        <v>60</v>
      </c>
    </row>
    <row r="30" spans="1:8" x14ac:dyDescent="0.25">
      <c r="B30" t="s">
        <v>61</v>
      </c>
      <c r="C30" t="s">
        <v>62</v>
      </c>
      <c r="D30" s="22" t="s">
        <v>63</v>
      </c>
      <c r="E30" t="s">
        <v>51</v>
      </c>
      <c r="F30" s="44" t="s">
        <v>240</v>
      </c>
      <c r="H30" t="s">
        <v>241</v>
      </c>
    </row>
    <row r="31" spans="1:8" x14ac:dyDescent="0.25">
      <c r="B31" t="s">
        <v>64</v>
      </c>
      <c r="C31" t="s">
        <v>65</v>
      </c>
      <c r="D31" s="22" t="s">
        <v>66</v>
      </c>
      <c r="E31" t="s">
        <v>51</v>
      </c>
      <c r="F31" s="11" t="s">
        <v>10</v>
      </c>
    </row>
    <row r="32" spans="1:8" x14ac:dyDescent="0.25">
      <c r="B32" t="s">
        <v>67</v>
      </c>
      <c r="C32" t="s">
        <v>68</v>
      </c>
      <c r="D32" s="22" t="s">
        <v>69</v>
      </c>
      <c r="E32" t="s">
        <v>51</v>
      </c>
      <c r="F32" s="11" t="s">
        <v>10</v>
      </c>
      <c r="G32" s="11" t="s">
        <v>10</v>
      </c>
      <c r="H32" s="24"/>
    </row>
    <row r="33" spans="1:8" x14ac:dyDescent="0.25">
      <c r="B33" t="s">
        <v>70</v>
      </c>
      <c r="C33" t="s">
        <v>71</v>
      </c>
      <c r="D33" s="22" t="s">
        <v>72</v>
      </c>
      <c r="E33" t="s">
        <v>51</v>
      </c>
      <c r="F33" s="11" t="s">
        <v>10</v>
      </c>
      <c r="H33" t="s">
        <v>73</v>
      </c>
    </row>
    <row r="34" spans="1:8" x14ac:dyDescent="0.25">
      <c r="B34" t="s">
        <v>74</v>
      </c>
      <c r="C34" t="s">
        <v>75</v>
      </c>
      <c r="D34" s="22" t="s">
        <v>76</v>
      </c>
      <c r="E34" t="s">
        <v>51</v>
      </c>
      <c r="F34" s="11" t="s">
        <v>10</v>
      </c>
    </row>
    <row r="35" spans="1:8" x14ac:dyDescent="0.25">
      <c r="B35" t="s">
        <v>77</v>
      </c>
      <c r="C35" t="s">
        <v>78</v>
      </c>
      <c r="D35" s="22" t="s">
        <v>79</v>
      </c>
      <c r="E35" t="s">
        <v>51</v>
      </c>
      <c r="F35" s="10" t="s">
        <v>17</v>
      </c>
      <c r="H35" s="41" t="s">
        <v>80</v>
      </c>
    </row>
    <row r="36" spans="1:8" x14ac:dyDescent="0.25">
      <c r="B36" t="s">
        <v>81</v>
      </c>
      <c r="C36" t="s">
        <v>82</v>
      </c>
      <c r="D36" s="22" t="s">
        <v>83</v>
      </c>
      <c r="E36" t="s">
        <v>51</v>
      </c>
      <c r="F36" s="10" t="s">
        <v>17</v>
      </c>
      <c r="G36" s="10" t="s">
        <v>17</v>
      </c>
      <c r="H36" t="s">
        <v>245</v>
      </c>
    </row>
    <row r="37" spans="1:8" x14ac:dyDescent="0.25">
      <c r="B37" t="s">
        <v>84</v>
      </c>
      <c r="C37" t="s">
        <v>85</v>
      </c>
      <c r="D37" s="22" t="s">
        <v>86</v>
      </c>
      <c r="E37" t="s">
        <v>51</v>
      </c>
      <c r="F37" s="10" t="s">
        <v>17</v>
      </c>
      <c r="G37" s="42"/>
    </row>
    <row r="38" spans="1:8" x14ac:dyDescent="0.25">
      <c r="B38" t="s">
        <v>87</v>
      </c>
      <c r="C38" t="s">
        <v>88</v>
      </c>
      <c r="D38" s="22" t="s">
        <v>89</v>
      </c>
      <c r="E38" t="s">
        <v>51</v>
      </c>
      <c r="F38" s="10" t="s">
        <v>17</v>
      </c>
      <c r="G38" s="43"/>
    </row>
    <row r="39" spans="1:8" x14ac:dyDescent="0.25">
      <c r="B39" t="s">
        <v>90</v>
      </c>
      <c r="C39" t="s">
        <v>91</v>
      </c>
      <c r="D39" s="22" t="s">
        <v>92</v>
      </c>
      <c r="E39" t="s">
        <v>51</v>
      </c>
      <c r="F39" s="11" t="s">
        <v>10</v>
      </c>
      <c r="G39" s="10" t="s">
        <v>17</v>
      </c>
    </row>
    <row r="40" spans="1:8" x14ac:dyDescent="0.25">
      <c r="B40" t="s">
        <v>93</v>
      </c>
      <c r="C40" t="s">
        <v>94</v>
      </c>
      <c r="F40" t="s">
        <v>95</v>
      </c>
    </row>
    <row r="42" spans="1:8" x14ac:dyDescent="0.25">
      <c r="A42" t="s">
        <v>96</v>
      </c>
      <c r="B42" s="40" t="s">
        <v>97</v>
      </c>
      <c r="C42" s="1"/>
    </row>
    <row r="43" spans="1:8" x14ac:dyDescent="0.25">
      <c r="B43" t="s">
        <v>98</v>
      </c>
    </row>
    <row r="44" spans="1:8" x14ac:dyDescent="0.25">
      <c r="B44" t="s">
        <v>99</v>
      </c>
    </row>
    <row r="45" spans="1:8" x14ac:dyDescent="0.25">
      <c r="B45" t="s">
        <v>100</v>
      </c>
    </row>
    <row r="46" spans="1:8" x14ac:dyDescent="0.25">
      <c r="B46" t="s">
        <v>101</v>
      </c>
      <c r="C46" t="s">
        <v>102</v>
      </c>
      <c r="D46" s="22" t="s">
        <v>103</v>
      </c>
    </row>
    <row r="47" spans="1:8" ht="45" x14ac:dyDescent="0.25">
      <c r="B47" s="24" t="s">
        <v>104</v>
      </c>
      <c r="C47" t="s">
        <v>105</v>
      </c>
      <c r="E47" t="s">
        <v>106</v>
      </c>
      <c r="F47" s="30" t="s">
        <v>107</v>
      </c>
    </row>
    <row r="48" spans="1:8" x14ac:dyDescent="0.25">
      <c r="B48" t="s">
        <v>108</v>
      </c>
      <c r="D48" s="22" t="s">
        <v>109</v>
      </c>
    </row>
    <row r="49" spans="1:6" x14ac:dyDescent="0.25">
      <c r="F49" t="s">
        <v>110</v>
      </c>
    </row>
    <row r="50" spans="1:6" x14ac:dyDescent="0.25">
      <c r="A50" t="s">
        <v>111</v>
      </c>
      <c r="B50" t="s">
        <v>112</v>
      </c>
      <c r="D50" t="s">
        <v>112</v>
      </c>
      <c r="E50" t="s">
        <v>113</v>
      </c>
      <c r="F50" s="10" t="s">
        <v>114</v>
      </c>
    </row>
    <row r="51" spans="1:6" x14ac:dyDescent="0.25">
      <c r="B51" t="s">
        <v>115</v>
      </c>
      <c r="C51" t="s">
        <v>116</v>
      </c>
      <c r="D51" s="22" t="s">
        <v>117</v>
      </c>
      <c r="F51" s="29" t="s">
        <v>118</v>
      </c>
    </row>
  </sheetData>
  <hyperlinks>
    <hyperlink ref="D27" r:id="rId1" xr:uid="{090406CD-DE32-477E-B86A-40712F6F9B08}"/>
    <hyperlink ref="D28" r:id="rId2" display="ipp@wjbayern.de" xr:uid="{98E9B4FE-6CEF-4713-9B62-2E44F3C459DF}"/>
    <hyperlink ref="D30" r:id="rId3" xr:uid="{53664B5B-657B-46DD-A1A2-F81180A4B989}"/>
    <hyperlink ref="D31" r:id="rId4" xr:uid="{7AA3F363-4F33-415F-A554-66B953AB2A5F}"/>
    <hyperlink ref="D32" r:id="rId5" xr:uid="{F06EBD4F-31EE-4B2E-B6D9-36F8E98BC485}"/>
    <hyperlink ref="D33" r:id="rId6" xr:uid="{C4E880EB-3D55-4EB5-8984-B64409151F96}"/>
    <hyperlink ref="D26" r:id="rId7" xr:uid="{9FC3CE79-17F0-44C9-B889-A93B05EA6DB0}"/>
    <hyperlink ref="D34" r:id="rId8" xr:uid="{DAD5FF56-A44A-498B-A0C8-BFEFC7A6243C}"/>
    <hyperlink ref="D29" r:id="rId9" xr:uid="{F65CCB2B-C185-44D4-99F6-C4D3DCE1300E}"/>
    <hyperlink ref="D35" r:id="rId10" xr:uid="{55059148-09B7-44F4-BB5B-24E9A3320832}"/>
    <hyperlink ref="D46" r:id="rId11" xr:uid="{7D4F283A-EBFB-4F45-89E4-ACFEC7FBCD27}"/>
    <hyperlink ref="D48" r:id="rId12" xr:uid="{F747F557-0073-4C2B-8B86-95518BBE0915}"/>
    <hyperlink ref="D36" r:id="rId13" xr:uid="{13D420DF-6F4B-4870-ADD6-84CCC0037E9A}"/>
    <hyperlink ref="D51" r:id="rId14" xr:uid="{0098946A-96FF-4046-8298-E58C90DF058F}"/>
    <hyperlink ref="D37" r:id="rId15" xr:uid="{8886918F-A652-43DA-BD02-321B99108C90}"/>
    <hyperlink ref="D38" r:id="rId16" xr:uid="{160F9B08-CDA9-485D-83E7-9AA4BCA41053}"/>
    <hyperlink ref="D39" r:id="rId17" xr:uid="{03506B27-E7D1-46CD-A88D-822450BFE465}"/>
  </hyperlinks>
  <pageMargins left="0.7" right="0.7" top="0.78740157499999996" bottom="0.78740157499999996" header="0.3" footer="0.3"/>
  <pageSetup paperSize="9" orientation="landscape" r:id="rId18"/>
  <legacy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E313-D332-40E8-80EC-8EFC12CA4A1B}">
  <dimension ref="E4:H23"/>
  <sheetViews>
    <sheetView topLeftCell="E1" workbookViewId="0">
      <selection activeCell="E24" sqref="E24"/>
    </sheetView>
  </sheetViews>
  <sheetFormatPr baseColWidth="10" defaultColWidth="11.42578125" defaultRowHeight="15" x14ac:dyDescent="0.25"/>
  <cols>
    <col min="6" max="6" width="13.5703125" bestFit="1" customWidth="1"/>
    <col min="8" max="8" width="83.85546875" customWidth="1"/>
  </cols>
  <sheetData>
    <row r="4" spans="5:8" x14ac:dyDescent="0.25">
      <c r="E4" t="s">
        <v>119</v>
      </c>
    </row>
    <row r="5" spans="5:8" x14ac:dyDescent="0.25">
      <c r="E5" t="s">
        <v>120</v>
      </c>
    </row>
    <row r="6" spans="5:8" x14ac:dyDescent="0.25">
      <c r="E6" t="s">
        <v>121</v>
      </c>
    </row>
    <row r="7" spans="5:8" x14ac:dyDescent="0.25">
      <c r="E7" t="s">
        <v>122</v>
      </c>
    </row>
    <row r="8" spans="5:8" x14ac:dyDescent="0.25">
      <c r="E8" t="s">
        <v>123</v>
      </c>
    </row>
    <row r="9" spans="5:8" x14ac:dyDescent="0.25">
      <c r="E9" t="s">
        <v>124</v>
      </c>
    </row>
    <row r="10" spans="5:8" x14ac:dyDescent="0.25">
      <c r="E10" t="s">
        <v>125</v>
      </c>
    </row>
    <row r="11" spans="5:8" x14ac:dyDescent="0.25">
      <c r="E11" t="s">
        <v>126</v>
      </c>
    </row>
    <row r="14" spans="5:8" x14ac:dyDescent="0.25">
      <c r="E14" s="23" t="s">
        <v>127</v>
      </c>
      <c r="F14" s="23" t="s">
        <v>128</v>
      </c>
      <c r="G14" s="23" t="s">
        <v>5</v>
      </c>
      <c r="H14" s="23" t="s">
        <v>129</v>
      </c>
    </row>
    <row r="15" spans="5:8" x14ac:dyDescent="0.25">
      <c r="E15" t="s">
        <v>130</v>
      </c>
      <c r="F15" t="s">
        <v>40</v>
      </c>
      <c r="G15" s="30" t="s">
        <v>10</v>
      </c>
      <c r="H15" t="s">
        <v>131</v>
      </c>
    </row>
    <row r="16" spans="5:8" x14ac:dyDescent="0.25">
      <c r="E16" t="s">
        <v>132</v>
      </c>
    </row>
    <row r="17" spans="5:8" x14ac:dyDescent="0.25">
      <c r="E17" t="s">
        <v>133</v>
      </c>
    </row>
    <row r="18" spans="5:8" x14ac:dyDescent="0.25">
      <c r="E18" t="s">
        <v>134</v>
      </c>
      <c r="H18" t="s">
        <v>135</v>
      </c>
    </row>
    <row r="19" spans="5:8" x14ac:dyDescent="0.25">
      <c r="E19" t="s">
        <v>136</v>
      </c>
      <c r="G19" s="29" t="s">
        <v>137</v>
      </c>
      <c r="H19" t="s">
        <v>138</v>
      </c>
    </row>
    <row r="20" spans="5:8" x14ac:dyDescent="0.25">
      <c r="E20" t="s">
        <v>139</v>
      </c>
      <c r="F20" t="s">
        <v>12</v>
      </c>
      <c r="G20" s="29" t="s">
        <v>140</v>
      </c>
    </row>
    <row r="21" spans="5:8" x14ac:dyDescent="0.25">
      <c r="E21" t="s">
        <v>141</v>
      </c>
      <c r="H21" t="s">
        <v>142</v>
      </c>
    </row>
    <row r="22" spans="5:8" x14ac:dyDescent="0.25">
      <c r="E22" t="s">
        <v>143</v>
      </c>
      <c r="H22" t="s">
        <v>144</v>
      </c>
    </row>
    <row r="23" spans="5:8" x14ac:dyDescent="0.25">
      <c r="E23" t="s">
        <v>243</v>
      </c>
      <c r="H23" t="s">
        <v>244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workbookViewId="0">
      <selection activeCell="C4" sqref="C4:E4"/>
    </sheetView>
  </sheetViews>
  <sheetFormatPr baseColWidth="10" defaultColWidth="9.140625" defaultRowHeight="15" x14ac:dyDescent="0.25"/>
  <cols>
    <col min="1" max="1" width="41.7109375" customWidth="1"/>
    <col min="6" max="6" width="2.5703125" customWidth="1"/>
    <col min="7" max="7" width="15.140625" customWidth="1"/>
    <col min="8" max="8" width="20.5703125" customWidth="1"/>
    <col min="9" max="11" width="25.85546875" customWidth="1"/>
  </cols>
  <sheetData>
    <row r="1" spans="1:11" ht="15.75" x14ac:dyDescent="0.25">
      <c r="A1" s="2" t="s">
        <v>145</v>
      </c>
    </row>
    <row r="2" spans="1:11" x14ac:dyDescent="0.25">
      <c r="A2" t="s">
        <v>146</v>
      </c>
    </row>
    <row r="3" spans="1:11" x14ac:dyDescent="0.25">
      <c r="B3" t="s">
        <v>42</v>
      </c>
      <c r="C3" t="s">
        <v>147</v>
      </c>
      <c r="D3" t="s">
        <v>148</v>
      </c>
      <c r="E3" t="s">
        <v>149</v>
      </c>
      <c r="H3" t="s">
        <v>150</v>
      </c>
    </row>
    <row r="4" spans="1:11" x14ac:dyDescent="0.25">
      <c r="A4" t="s">
        <v>151</v>
      </c>
      <c r="B4" s="3">
        <v>109</v>
      </c>
      <c r="C4">
        <v>110</v>
      </c>
      <c r="D4">
        <v>71</v>
      </c>
      <c r="E4">
        <v>72</v>
      </c>
      <c r="H4" t="s">
        <v>152</v>
      </c>
      <c r="I4" t="s">
        <v>153</v>
      </c>
      <c r="J4" s="34" t="s">
        <v>154</v>
      </c>
      <c r="K4" s="35" t="s">
        <v>155</v>
      </c>
    </row>
    <row r="5" spans="1:11" x14ac:dyDescent="0.25">
      <c r="A5" t="s">
        <v>156</v>
      </c>
      <c r="B5" s="3">
        <v>66</v>
      </c>
      <c r="H5" t="s">
        <v>157</v>
      </c>
      <c r="I5" t="s">
        <v>158</v>
      </c>
      <c r="J5" s="29" t="s">
        <v>159</v>
      </c>
    </row>
    <row r="6" spans="1:11" x14ac:dyDescent="0.25">
      <c r="A6" t="s">
        <v>160</v>
      </c>
      <c r="B6" s="3">
        <v>78</v>
      </c>
      <c r="H6" t="s">
        <v>161</v>
      </c>
      <c r="I6" s="29" t="s">
        <v>162</v>
      </c>
      <c r="J6" t="s">
        <v>163</v>
      </c>
      <c r="K6" t="s">
        <v>164</v>
      </c>
    </row>
    <row r="7" spans="1:11" x14ac:dyDescent="0.25">
      <c r="A7" t="s">
        <v>165</v>
      </c>
      <c r="B7" s="3">
        <v>3</v>
      </c>
    </row>
    <row r="8" spans="1:11" x14ac:dyDescent="0.25">
      <c r="A8" t="s">
        <v>166</v>
      </c>
      <c r="B8" s="5">
        <f>SUM(B4:B6)</f>
        <v>253</v>
      </c>
      <c r="C8" s="5">
        <f t="shared" ref="C8:E8" si="0">SUM(C4:C6)</f>
        <v>110</v>
      </c>
      <c r="D8" s="5">
        <f t="shared" si="0"/>
        <v>71</v>
      </c>
      <c r="E8" s="5">
        <f t="shared" si="0"/>
        <v>72</v>
      </c>
    </row>
    <row r="10" spans="1:11" x14ac:dyDescent="0.25">
      <c r="A10" t="s">
        <v>167</v>
      </c>
      <c r="B10" s="3">
        <v>5</v>
      </c>
    </row>
    <row r="11" spans="1:11" x14ac:dyDescent="0.25">
      <c r="A11" t="s">
        <v>168</v>
      </c>
      <c r="B11" s="5">
        <f>ROUNDUP(B8/$B$10,0)</f>
        <v>51</v>
      </c>
      <c r="C11" s="5">
        <f t="shared" ref="C11" si="1">ROUNDUP(C8/$B$10,0)</f>
        <v>22</v>
      </c>
      <c r="D11" s="36">
        <v>14</v>
      </c>
      <c r="E11" s="36">
        <v>16</v>
      </c>
    </row>
    <row r="13" spans="1:11" x14ac:dyDescent="0.25">
      <c r="A13" t="s">
        <v>169</v>
      </c>
      <c r="B13" s="3">
        <v>10</v>
      </c>
    </row>
    <row r="17" spans="1:5" x14ac:dyDescent="0.25">
      <c r="A17" s="1" t="s">
        <v>170</v>
      </c>
      <c r="B17" t="s">
        <v>42</v>
      </c>
      <c r="C17" t="s">
        <v>147</v>
      </c>
      <c r="D17" t="s">
        <v>148</v>
      </c>
      <c r="E17" t="s">
        <v>149</v>
      </c>
    </row>
    <row r="18" spans="1:5" x14ac:dyDescent="0.25">
      <c r="A18" t="s">
        <v>171</v>
      </c>
      <c r="B18" s="3">
        <v>15</v>
      </c>
      <c r="C18" s="37">
        <v>15</v>
      </c>
      <c r="D18" s="37">
        <v>15</v>
      </c>
      <c r="E18" s="37">
        <v>15</v>
      </c>
    </row>
    <row r="19" spans="1:5" x14ac:dyDescent="0.25">
      <c r="A19" t="s">
        <v>172</v>
      </c>
      <c r="B19" s="3">
        <v>10</v>
      </c>
      <c r="C19" s="3">
        <f t="shared" ref="C19:E19" si="2">B19</f>
        <v>10</v>
      </c>
      <c r="D19" s="3">
        <f t="shared" si="2"/>
        <v>10</v>
      </c>
      <c r="E19" s="3">
        <f t="shared" si="2"/>
        <v>10</v>
      </c>
    </row>
    <row r="20" spans="1:5" x14ac:dyDescent="0.25">
      <c r="A20" t="s">
        <v>173</v>
      </c>
      <c r="B20" s="3">
        <v>3</v>
      </c>
      <c r="C20" s="3">
        <f t="shared" ref="C20:E20" si="3">B20</f>
        <v>3</v>
      </c>
      <c r="D20" s="3">
        <f t="shared" si="3"/>
        <v>3</v>
      </c>
      <c r="E20" s="3">
        <f t="shared" si="3"/>
        <v>3</v>
      </c>
    </row>
    <row r="21" spans="1:5" x14ac:dyDescent="0.25">
      <c r="A21" t="s">
        <v>174</v>
      </c>
      <c r="B21" s="4">
        <f>(B18*B11+B11/B20*B19)/60</f>
        <v>15.583333333333334</v>
      </c>
      <c r="C21" s="4">
        <f t="shared" ref="C21:E21" si="4">(C18*C11+C11/C20*C19)/60</f>
        <v>6.7222222222222223</v>
      </c>
      <c r="D21" s="4">
        <f t="shared" si="4"/>
        <v>4.2777777777777777</v>
      </c>
      <c r="E21" s="4">
        <f t="shared" si="4"/>
        <v>4.8888888888888884</v>
      </c>
    </row>
    <row r="22" spans="1:5" x14ac:dyDescent="0.25">
      <c r="A22" t="s">
        <v>175</v>
      </c>
      <c r="B22" s="3">
        <v>3</v>
      </c>
      <c r="C22" s="3">
        <v>3</v>
      </c>
      <c r="D22" s="3">
        <v>2</v>
      </c>
      <c r="E22" s="3">
        <v>2</v>
      </c>
    </row>
    <row r="23" spans="1:5" x14ac:dyDescent="0.25">
      <c r="A23" t="s">
        <v>176</v>
      </c>
      <c r="B23" s="3">
        <v>3</v>
      </c>
      <c r="C23" s="3">
        <v>3</v>
      </c>
      <c r="D23" s="3">
        <v>2</v>
      </c>
      <c r="E23" s="3">
        <v>2</v>
      </c>
    </row>
    <row r="24" spans="1:5" x14ac:dyDescent="0.25">
      <c r="A24" t="s">
        <v>177</v>
      </c>
      <c r="B24" s="4">
        <f>ROUNDUP(B21/B23,2)</f>
        <v>5.2</v>
      </c>
      <c r="C24" s="4">
        <f t="shared" ref="C24:E24" si="5">ROUNDUP(C21/C23,2)</f>
        <v>2.25</v>
      </c>
      <c r="D24" s="4">
        <f t="shared" si="5"/>
        <v>2.1399999999999997</v>
      </c>
      <c r="E24" s="4">
        <f t="shared" si="5"/>
        <v>2.4499999999999997</v>
      </c>
    </row>
    <row r="28" spans="1:5" x14ac:dyDescent="0.25">
      <c r="A28" s="1" t="s">
        <v>178</v>
      </c>
    </row>
    <row r="29" spans="1:5" x14ac:dyDescent="0.25">
      <c r="A29" s="1" t="s">
        <v>179</v>
      </c>
      <c r="B29" s="3">
        <v>3</v>
      </c>
    </row>
    <row r="30" spans="1:5" x14ac:dyDescent="0.25">
      <c r="A30" t="s">
        <v>180</v>
      </c>
      <c r="B30" s="5">
        <v>10</v>
      </c>
      <c r="C30" s="45" t="s">
        <v>181</v>
      </c>
      <c r="D30" s="46"/>
      <c r="E30" s="46"/>
    </row>
    <row r="31" spans="1:5" x14ac:dyDescent="0.25">
      <c r="A31" t="s">
        <v>182</v>
      </c>
      <c r="B31" s="3">
        <v>3</v>
      </c>
      <c r="C31" t="s">
        <v>183</v>
      </c>
    </row>
    <row r="32" spans="1:5" x14ac:dyDescent="0.25">
      <c r="A32" t="s">
        <v>184</v>
      </c>
      <c r="B32" s="3">
        <v>5</v>
      </c>
    </row>
    <row r="33" spans="1:3" x14ac:dyDescent="0.25">
      <c r="A33" t="s">
        <v>185</v>
      </c>
      <c r="B33" s="3">
        <v>2</v>
      </c>
    </row>
    <row r="34" spans="1:3" x14ac:dyDescent="0.25">
      <c r="A34" t="s">
        <v>186</v>
      </c>
      <c r="B34" s="4">
        <f>B30*SUM(B31:B33)</f>
        <v>100</v>
      </c>
    </row>
    <row r="35" spans="1:3" x14ac:dyDescent="0.25">
      <c r="A35" t="s">
        <v>187</v>
      </c>
      <c r="B35" s="3">
        <v>30</v>
      </c>
    </row>
    <row r="36" spans="1:3" x14ac:dyDescent="0.25">
      <c r="A36" t="s">
        <v>188</v>
      </c>
      <c r="B36" s="3">
        <v>30</v>
      </c>
    </row>
    <row r="37" spans="1:3" x14ac:dyDescent="0.25">
      <c r="A37" t="s">
        <v>189</v>
      </c>
      <c r="B37" s="6">
        <v>45</v>
      </c>
    </row>
    <row r="38" spans="1:3" x14ac:dyDescent="0.25">
      <c r="A38" t="s">
        <v>190</v>
      </c>
      <c r="B38" s="4">
        <f>SUM(B34:B37)</f>
        <v>205</v>
      </c>
      <c r="C38" s="7">
        <f>B38/60</f>
        <v>3.4166666666666665</v>
      </c>
    </row>
  </sheetData>
  <mergeCells count="1">
    <mergeCell ref="C30:E30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106A-A072-478B-A1E1-BCCD1E131842}">
  <dimension ref="A1:G37"/>
  <sheetViews>
    <sheetView zoomScale="110" zoomScaleNormal="110" workbookViewId="0">
      <selection activeCell="A12" sqref="A12"/>
    </sheetView>
  </sheetViews>
  <sheetFormatPr baseColWidth="10" defaultColWidth="11.42578125" defaultRowHeight="15" x14ac:dyDescent="0.25"/>
  <cols>
    <col min="1" max="1" width="36.28515625" customWidth="1"/>
    <col min="3" max="3" width="29" customWidth="1"/>
  </cols>
  <sheetData>
    <row r="1" spans="1:7" ht="15.75" x14ac:dyDescent="0.25">
      <c r="A1" s="2" t="s">
        <v>191</v>
      </c>
    </row>
    <row r="3" spans="1:7" x14ac:dyDescent="0.25">
      <c r="E3" s="29" t="s">
        <v>192</v>
      </c>
      <c r="F3" s="30" t="s">
        <v>193</v>
      </c>
      <c r="G3" s="31" t="s">
        <v>194</v>
      </c>
    </row>
    <row r="4" spans="1:7" x14ac:dyDescent="0.25">
      <c r="B4" s="21" t="s">
        <v>195</v>
      </c>
    </row>
    <row r="5" spans="1:7" x14ac:dyDescent="0.25">
      <c r="A5" s="9" t="s">
        <v>196</v>
      </c>
      <c r="B5" s="9" t="s">
        <v>197</v>
      </c>
      <c r="C5" s="9" t="s">
        <v>198</v>
      </c>
      <c r="D5" s="9" t="s">
        <v>129</v>
      </c>
    </row>
    <row r="6" spans="1:7" x14ac:dyDescent="0.25">
      <c r="A6" s="27" t="s">
        <v>199</v>
      </c>
      <c r="B6" s="32">
        <v>1500</v>
      </c>
      <c r="C6" s="22" t="s">
        <v>200</v>
      </c>
      <c r="D6" t="s">
        <v>201</v>
      </c>
    </row>
    <row r="7" spans="1:7" x14ac:dyDescent="0.25">
      <c r="A7" s="27" t="s">
        <v>202</v>
      </c>
      <c r="B7" s="32">
        <v>1000</v>
      </c>
      <c r="C7" s="22" t="s">
        <v>203</v>
      </c>
    </row>
    <row r="8" spans="1:7" x14ac:dyDescent="0.25">
      <c r="A8" s="27" t="s">
        <v>204</v>
      </c>
      <c r="B8" s="32">
        <v>1500</v>
      </c>
      <c r="C8" s="22" t="s">
        <v>205</v>
      </c>
    </row>
    <row r="9" spans="1:7" x14ac:dyDescent="0.25">
      <c r="A9" s="27" t="s">
        <v>206</v>
      </c>
      <c r="B9" s="32">
        <v>500</v>
      </c>
      <c r="C9" s="22" t="s">
        <v>207</v>
      </c>
      <c r="D9" t="s">
        <v>208</v>
      </c>
    </row>
    <row r="10" spans="1:7" x14ac:dyDescent="0.25">
      <c r="A10" s="8" t="s">
        <v>209</v>
      </c>
      <c r="B10" s="32">
        <v>1000</v>
      </c>
      <c r="C10" s="22" t="s">
        <v>210</v>
      </c>
    </row>
    <row r="11" spans="1:7" x14ac:dyDescent="0.25">
      <c r="A11" s="28" t="s">
        <v>211</v>
      </c>
      <c r="B11" s="32"/>
      <c r="C11" s="22" t="s">
        <v>59</v>
      </c>
    </row>
    <row r="12" spans="1:7" x14ac:dyDescent="0.25">
      <c r="A12" s="28" t="s">
        <v>212</v>
      </c>
      <c r="B12" s="32">
        <v>300</v>
      </c>
    </row>
    <row r="13" spans="1:7" x14ac:dyDescent="0.25">
      <c r="A13" s="33" t="s">
        <v>213</v>
      </c>
      <c r="B13" s="32"/>
      <c r="C13" s="22" t="s">
        <v>214</v>
      </c>
    </row>
    <row r="14" spans="1:7" x14ac:dyDescent="0.25">
      <c r="A14" s="27" t="s">
        <v>215</v>
      </c>
      <c r="B14" s="32">
        <v>300</v>
      </c>
      <c r="C14" s="22" t="s">
        <v>216</v>
      </c>
      <c r="D14" t="s">
        <v>217</v>
      </c>
    </row>
    <row r="15" spans="1:7" x14ac:dyDescent="0.25">
      <c r="A15" s="8" t="s">
        <v>218</v>
      </c>
      <c r="B15" s="32">
        <v>500</v>
      </c>
      <c r="C15" s="22" t="s">
        <v>219</v>
      </c>
      <c r="D15" t="s">
        <v>220</v>
      </c>
    </row>
    <row r="16" spans="1:7" x14ac:dyDescent="0.25">
      <c r="A16" s="18" t="s">
        <v>42</v>
      </c>
      <c r="B16" s="19">
        <f>SUM(B6:B15)</f>
        <v>6600</v>
      </c>
    </row>
    <row r="18" spans="1:4" x14ac:dyDescent="0.25">
      <c r="A18" s="9" t="s">
        <v>221</v>
      </c>
      <c r="B18" s="9" t="s">
        <v>197</v>
      </c>
    </row>
    <row r="19" spans="1:4" x14ac:dyDescent="0.25">
      <c r="A19" s="8" t="s">
        <v>222</v>
      </c>
      <c r="B19" s="17"/>
      <c r="C19" s="26"/>
    </row>
    <row r="20" spans="1:4" x14ac:dyDescent="0.25">
      <c r="A20" s="8" t="s">
        <v>139</v>
      </c>
      <c r="B20" s="17">
        <v>300</v>
      </c>
      <c r="C20" s="26" t="s">
        <v>223</v>
      </c>
    </row>
    <row r="21" spans="1:4" x14ac:dyDescent="0.25">
      <c r="A21" s="8" t="s">
        <v>224</v>
      </c>
      <c r="B21" s="17">
        <f>828.002*2</f>
        <v>1656.0039999999999</v>
      </c>
      <c r="C21" t="s">
        <v>225</v>
      </c>
    </row>
    <row r="22" spans="1:4" x14ac:dyDescent="0.25">
      <c r="A22" s="8" t="s">
        <v>130</v>
      </c>
      <c r="B22" s="17">
        <f>250*8</f>
        <v>2000</v>
      </c>
      <c r="C22" t="s">
        <v>226</v>
      </c>
    </row>
    <row r="23" spans="1:4" x14ac:dyDescent="0.25">
      <c r="A23" s="8" t="s">
        <v>227</v>
      </c>
      <c r="B23" s="17">
        <v>300</v>
      </c>
    </row>
    <row r="24" spans="1:4" x14ac:dyDescent="0.25">
      <c r="A24" s="8"/>
      <c r="B24" s="17"/>
    </row>
    <row r="25" spans="1:4" x14ac:dyDescent="0.25">
      <c r="A25" s="18" t="s">
        <v>42</v>
      </c>
      <c r="B25" s="19">
        <f>SUM(B19:B24)</f>
        <v>4256.0039999999999</v>
      </c>
    </row>
    <row r="27" spans="1:4" x14ac:dyDescent="0.25">
      <c r="A27" t="s">
        <v>228</v>
      </c>
      <c r="B27" s="20">
        <f>B16-B25</f>
        <v>2343.9960000000001</v>
      </c>
    </row>
    <row r="28" spans="1:4" x14ac:dyDescent="0.25">
      <c r="B28" t="s">
        <v>229</v>
      </c>
      <c r="C28" t="s">
        <v>230</v>
      </c>
      <c r="D28" s="25" t="s">
        <v>231</v>
      </c>
    </row>
    <row r="29" spans="1:4" x14ac:dyDescent="0.25">
      <c r="A29" t="s">
        <v>232</v>
      </c>
      <c r="B29">
        <v>500</v>
      </c>
      <c r="C29" s="25">
        <f>5*280</f>
        <v>1400</v>
      </c>
      <c r="D29">
        <f>6*4.33*0.5*150</f>
        <v>1948.5</v>
      </c>
    </row>
    <row r="30" spans="1:4" x14ac:dyDescent="0.25">
      <c r="A30" t="s">
        <v>233</v>
      </c>
      <c r="B30">
        <v>300</v>
      </c>
      <c r="C30" s="25">
        <f>5*280</f>
        <v>1400</v>
      </c>
    </row>
    <row r="31" spans="1:4" x14ac:dyDescent="0.25">
      <c r="A31" t="s">
        <v>234</v>
      </c>
      <c r="B31">
        <v>200</v>
      </c>
    </row>
    <row r="32" spans="1:4" x14ac:dyDescent="0.25">
      <c r="A32" t="s">
        <v>235</v>
      </c>
      <c r="B32" s="25">
        <v>100</v>
      </c>
    </row>
    <row r="33" spans="1:4" x14ac:dyDescent="0.25">
      <c r="A33" t="s">
        <v>236</v>
      </c>
      <c r="B33" s="25">
        <v>100</v>
      </c>
    </row>
    <row r="34" spans="1:4" x14ac:dyDescent="0.25">
      <c r="A34" t="s">
        <v>237</v>
      </c>
      <c r="B34" s="25">
        <v>100</v>
      </c>
    </row>
    <row r="35" spans="1:4" x14ac:dyDescent="0.25">
      <c r="A35" t="s">
        <v>238</v>
      </c>
      <c r="B35" s="25">
        <v>100</v>
      </c>
    </row>
    <row r="36" spans="1:4" x14ac:dyDescent="0.25">
      <c r="B36" s="20">
        <f>SUM(B29:B35)</f>
        <v>1400</v>
      </c>
      <c r="C36" s="20">
        <f t="shared" ref="C36:D36" si="0">SUM(C29:C35)</f>
        <v>2800</v>
      </c>
      <c r="D36" s="20">
        <f t="shared" si="0"/>
        <v>1948.5</v>
      </c>
    </row>
    <row r="37" spans="1:4" x14ac:dyDescent="0.25">
      <c r="A37" t="s">
        <v>239</v>
      </c>
      <c r="B37" s="26">
        <f>B27-B36</f>
        <v>943.99600000000009</v>
      </c>
      <c r="D37" s="26">
        <f>SUM(B36:D36)</f>
        <v>6148.5</v>
      </c>
    </row>
  </sheetData>
  <phoneticPr fontId="15" type="noConversion"/>
  <hyperlinks>
    <hyperlink ref="C7" r:id="rId1" xr:uid="{75C1D6A1-4B4E-45BD-A77B-937A6235DC4A}"/>
    <hyperlink ref="C6" r:id="rId2" xr:uid="{A22A596F-627D-4D8C-9089-B7A0FD403595}"/>
    <hyperlink ref="C8" r:id="rId3" xr:uid="{EE76D426-EAC2-4B80-A291-F806CB3385E9}"/>
    <hyperlink ref="C10" r:id="rId4" xr:uid="{24300F55-AEC7-4127-A7BA-7D2D223579FF}"/>
    <hyperlink ref="C11" r:id="rId5" xr:uid="{B992B80A-68C4-437E-AB64-F2C322ABD567}"/>
    <hyperlink ref="C13" r:id="rId6" xr:uid="{F5AD2FD2-5619-49FC-8A74-F2A3318B97D2}"/>
    <hyperlink ref="C14" r:id="rId7" xr:uid="{1F3FC3FA-6D1F-4D0F-BAE5-32D103F9C2A1}"/>
    <hyperlink ref="C9" r:id="rId8" xr:uid="{60B91A6C-F3E3-4DED-B020-38AFAF18DA32}"/>
  </hyperlinks>
  <pageMargins left="0.7" right="0.7" top="0.78740157499999996" bottom="0.78740157499999996" header="0.3" footer="0.3"/>
  <pageSetup paperSize="9" orientation="portrait" r:id="rId9"/>
  <legacy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Jury &amp; Special Guests</vt:lpstr>
      <vt:lpstr>PitchDay</vt:lpstr>
      <vt:lpstr>Gruppengrößen</vt:lpstr>
      <vt:lpstr>Kalkulation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Vierling Martin</cp:lastModifiedBy>
  <cp:revision/>
  <dcterms:created xsi:type="dcterms:W3CDTF">2015-06-05T18:19:34Z</dcterms:created>
  <dcterms:modified xsi:type="dcterms:W3CDTF">2026-06-27T14:34:56Z</dcterms:modified>
  <cp:category/>
  <cp:contentStatus/>
</cp:coreProperties>
</file>